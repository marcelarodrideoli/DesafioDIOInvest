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cuments\Data Sciense\Projetos\"/>
    </mc:Choice>
  </mc:AlternateContent>
  <xr:revisionPtr revIDLastSave="0" documentId="13_ncr:1_{8AA35EFF-A89F-4C45-9C4D-DE17501296C1}" xr6:coauthVersionLast="47" xr6:coauthVersionMax="47" xr10:uidLastSave="{00000000-0000-0000-0000-000000000000}"/>
  <bookViews>
    <workbookView xWindow="-28920" yWindow="-120" windowWidth="29040" windowHeight="15720" xr2:uid="{BB868E32-2013-4580-93E1-DAD8BF4D1188}"/>
  </bookViews>
  <sheets>
    <sheet name="APP" sheetId="1" r:id="rId1"/>
    <sheet name="Apoio" sheetId="2" r:id="rId2"/>
  </sheets>
  <definedNames>
    <definedName name="aporte">APP!$D$13</definedName>
    <definedName name="patrimonio">APP!$D$16</definedName>
    <definedName name="qtd_anos">APP!$D$14</definedName>
    <definedName name="rendimento_carteira">APP!$D$9</definedName>
    <definedName name="salario">APP!$D$8</definedName>
    <definedName name="taxa_mensal">APP!$D$15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D31" i="1" s="1"/>
  <c r="C32" i="1"/>
  <c r="D32" i="1" s="1"/>
  <c r="C33" i="1"/>
  <c r="D33" i="1" s="1"/>
  <c r="C34" i="1"/>
  <c r="D34" i="1" s="1"/>
  <c r="C35" i="1"/>
  <c r="D35" i="1" s="1"/>
  <c r="C30" i="1"/>
  <c r="D30" i="1" s="1"/>
  <c r="B18" i="2"/>
  <c r="B19" i="2"/>
  <c r="B20" i="2"/>
  <c r="B21" i="2"/>
  <c r="B22" i="2"/>
  <c r="B11" i="2"/>
  <c r="B12" i="2"/>
  <c r="B13" i="2"/>
  <c r="B14" i="2"/>
  <c r="B15" i="2"/>
  <c r="B17" i="2"/>
  <c r="B10" i="2"/>
  <c r="B4" i="2"/>
  <c r="B5" i="2"/>
  <c r="B6" i="2"/>
  <c r="B7" i="2"/>
  <c r="B8" i="2"/>
  <c r="B3" i="2"/>
  <c r="C27" i="1"/>
  <c r="D21" i="1"/>
  <c r="D22" i="1"/>
  <c r="D23" i="1"/>
  <c r="D24" i="1"/>
  <c r="D20" i="1"/>
  <c r="D17" i="1"/>
  <c r="D16" i="1"/>
  <c r="D10" i="1"/>
  <c r="C21" i="1"/>
  <c r="C22" i="1"/>
  <c r="C23" i="1"/>
  <c r="C24" i="1"/>
  <c r="C20" i="1"/>
  <c r="D36" i="1" l="1"/>
</calcChain>
</file>

<file path=xl/sharedStrings.xml><?xml version="1.0" encoding="utf-8"?>
<sst xmlns="http://schemas.openxmlformats.org/spreadsheetml/2006/main" count="56" uniqueCount="32">
  <si>
    <t>Salário</t>
  </si>
  <si>
    <t>Rendimento de Carteira</t>
  </si>
  <si>
    <t>Sugestão de Investimento</t>
  </si>
  <si>
    <t>Quanto invesstir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</si>
  <si>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</si>
  <si>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</si>
  <si>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</si>
  <si>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</si>
  <si>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</si>
  <si>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</si>
  <si>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</si>
  <si>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</si>
  <si>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</si>
  <si>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VALOR A SER INVESTIDO POR MÊS</t>
  </si>
  <si>
    <t>CONFIGURAÇÕES</t>
  </si>
  <si>
    <t>INVESTIMENTO MENSAL</t>
  </si>
  <si>
    <t>CENÁRIO</t>
  </si>
  <si>
    <t>PERFIL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</si>
  <si>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</si>
  <si>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</si>
  <si>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</si>
  <si>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</si>
  <si>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</si>
  <si>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</si>
  <si>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</si>
  <si>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</si>
  <si>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</si>
  <si>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Dividendos</t>
  </si>
  <si>
    <t>Agressivo</t>
  </si>
  <si>
    <t>Conservador</t>
  </si>
  <si>
    <t>Moderado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</si>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</sst>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_-&quot;R$&quot;\ * #,##0.00_-;\-&quot;R$&quot;\ * #,##0.00_-;_-&quot;R$&quot;\ * &quot;-&quot;??_-;_-@_-"/>
    <numFmt numFmtId="169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sz val="12"/>
      <color rgb="FF9C5700"/>
      <name val="Arial Narrow"/>
      <family val="2"/>
    </font>
    <font>
      <sz val="12"/>
      <color rgb="FF9C570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59B0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D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7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/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169" fontId="3" fillId="0" borderId="5" xfId="1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10" fontId="3" fillId="0" borderId="6" xfId="2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169" fontId="3" fillId="0" borderId="8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169" fontId="4" fillId="0" borderId="28" xfId="1" applyNumberFormat="1" applyFont="1" applyBorder="1" applyAlignment="1">
      <alignment horizontal="center" vertical="center"/>
    </xf>
    <xf numFmtId="1" fontId="4" fillId="0" borderId="28" xfId="1" applyNumberFormat="1" applyFont="1" applyBorder="1" applyAlignment="1">
      <alignment horizontal="center" vertical="center"/>
    </xf>
    <xf numFmtId="10" fontId="4" fillId="0" borderId="28" xfId="2" applyNumberFormat="1" applyFont="1" applyBorder="1" applyAlignment="1">
      <alignment horizontal="center" vertical="center"/>
    </xf>
    <xf numFmtId="8" fontId="4" fillId="4" borderId="28" xfId="0" applyNumberFormat="1" applyFont="1" applyFill="1" applyBorder="1" applyAlignment="1">
      <alignment horizontal="center" vertical="center"/>
    </xf>
    <xf numFmtId="8" fontId="4" fillId="4" borderId="9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/>
    </xf>
    <xf numFmtId="8" fontId="3" fillId="4" borderId="19" xfId="0" applyNumberFormat="1" applyFont="1" applyFill="1" applyBorder="1" applyAlignment="1">
      <alignment horizontal="center" vertical="center"/>
    </xf>
    <xf numFmtId="8" fontId="3" fillId="4" borderId="20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vertical="center"/>
    </xf>
    <xf numFmtId="8" fontId="3" fillId="4" borderId="15" xfId="0" applyNumberFormat="1" applyFont="1" applyFill="1" applyBorder="1" applyAlignment="1">
      <alignment horizontal="center" vertical="center"/>
    </xf>
    <xf numFmtId="8" fontId="3" fillId="4" borderId="1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8" fontId="3" fillId="4" borderId="16" xfId="0" applyNumberFormat="1" applyFont="1" applyFill="1" applyBorder="1" applyAlignment="1">
      <alignment horizontal="center" vertical="center"/>
    </xf>
    <xf numFmtId="8" fontId="3" fillId="4" borderId="1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0" xfId="3" applyFont="1" applyBorder="1" applyAlignment="1">
      <alignment vertical="center"/>
    </xf>
    <xf numFmtId="0" fontId="8" fillId="2" borderId="0" xfId="3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4" fontId="3" fillId="0" borderId="0" xfId="1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5" borderId="0" xfId="0" applyFont="1" applyFill="1" applyBorder="1" applyAlignment="1">
      <alignment vertical="center"/>
    </xf>
    <xf numFmtId="44" fontId="4" fillId="5" borderId="0" xfId="1" applyFont="1" applyFill="1" applyBorder="1" applyAlignment="1">
      <alignment horizontal="center" vertical="center"/>
    </xf>
    <xf numFmtId="0" fontId="8" fillId="2" borderId="0" xfId="3" applyFont="1" applyBorder="1" applyAlignment="1">
      <alignment horizontal="right" vertical="center"/>
    </xf>
    <xf numFmtId="169" fontId="3" fillId="0" borderId="0" xfId="0" applyNumberFormat="1" applyFont="1" applyBorder="1" applyAlignment="1">
      <alignment vertical="center"/>
    </xf>
    <xf numFmtId="9" fontId="0" fillId="0" borderId="0" xfId="2" applyNumberFormat="1" applyFont="1"/>
    <xf numFmtId="9" fontId="3" fillId="0" borderId="0" xfId="2" applyFont="1" applyBorder="1" applyAlignment="1">
      <alignment horizontal="center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left" vertical="center"/>
    </xf>
  </cellXfs>
  <cellStyles count="5">
    <cellStyle name="Moeda" xfId="1" builtinId="4"/>
    <cellStyle name="Moeda 2" xfId="4" xr:uid="{6AEC16A9-A260-4821-8191-BA80DB1D8D35}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E5516"/>
      <color rgb="FF0A0F23"/>
      <color rgb="FFE9E4BE"/>
      <color rgb="FF023341"/>
      <color rgb="FFFF8D00"/>
      <color rgb="FFAF2233"/>
      <color rgb="FFC0EAC8"/>
      <color rgb="FF59B093"/>
      <color rgb="FFAEBA8A"/>
      <color rgb="FF898C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9B09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93-4247-8AC6-5262C22365A8}"/>
              </c:ext>
            </c:extLst>
          </c:dPt>
          <c:dPt>
            <c:idx val="1"/>
            <c:bubble3D val="0"/>
            <c:spPr>
              <a:solidFill>
                <a:srgbClr val="02334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993-4247-8AC6-5262C22365A8}"/>
              </c:ext>
            </c:extLst>
          </c:dPt>
          <c:dPt>
            <c:idx val="2"/>
            <c:bubble3D val="0"/>
            <c:spPr>
              <a:solidFill>
                <a:srgbClr val="FF8D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93-4247-8AC6-5262C22365A8}"/>
              </c:ext>
            </c:extLst>
          </c:dPt>
          <c:dPt>
            <c:idx val="3"/>
            <c:bubble3D val="0"/>
            <c:spPr>
              <a:solidFill>
                <a:srgbClr val="AF22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93-4247-8AC6-5262C22365A8}"/>
              </c:ext>
            </c:extLst>
          </c:dPt>
          <c:dPt>
            <c:idx val="4"/>
            <c:bubble3D val="0"/>
            <c:spPr>
              <a:solidFill>
                <a:srgbClr val="0A0F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93-4247-8AC6-5262C22365A8}"/>
              </c:ext>
            </c:extLst>
          </c:dPt>
          <c:dPt>
            <c:idx val="5"/>
            <c:bubble3D val="0"/>
            <c:spPr>
              <a:solidFill>
                <a:srgbClr val="FE551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993-4247-8AC6-5262C2236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E9E4B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APP!$C$30:$C$35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3-4247-8AC6-5262C22365A8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E9E4B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APP!$D$30:$D$35</c:f>
              <c:numCache>
                <c:formatCode>_("R$"* #,##0.00_);_("R$"* \(#,##0.00\);_("R$"* "-"??_);_(@_)</c:formatCode>
                <c:ptCount val="6"/>
                <c:pt idx="0">
                  <c:v>250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3-4247-8AC6-5262C22365A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E9E4BE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0</xdr:colOff>
      <xdr:row>5</xdr:row>
      <xdr:rowOff>85725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87A82E0B-8837-4D1F-AAB6-6A91B93815A9}"/>
            </a:ext>
          </a:extLst>
        </xdr:cNvPr>
        <xdr:cNvGrpSpPr/>
      </xdr:nvGrpSpPr>
      <xdr:grpSpPr>
        <a:xfrm>
          <a:off x="0" y="0"/>
          <a:ext cx="6505575" cy="1085850"/>
          <a:chOff x="0" y="0"/>
          <a:chExt cx="4570006" cy="891651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49A8E9D3-2E86-47AD-96AA-AC685B89BFCC}"/>
              </a:ext>
            </a:extLst>
          </xdr:cNvPr>
          <xdr:cNvSpPr/>
        </xdr:nvSpPr>
        <xdr:spPr>
          <a:xfrm>
            <a:off x="0" y="0"/>
            <a:ext cx="1555102" cy="407631"/>
          </a:xfrm>
          <a:prstGeom prst="rect">
            <a:avLst/>
          </a:prstGeom>
          <a:solidFill>
            <a:srgbClr val="59B09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661E4EA5-A929-44AA-A1E7-9BE97F20FA17}"/>
              </a:ext>
            </a:extLst>
          </xdr:cNvPr>
          <xdr:cNvSpPr/>
        </xdr:nvSpPr>
        <xdr:spPr>
          <a:xfrm rot="16200000">
            <a:off x="-41160" y="439409"/>
            <a:ext cx="491897" cy="409575"/>
          </a:xfrm>
          <a:prstGeom prst="rect">
            <a:avLst/>
          </a:prstGeom>
          <a:solidFill>
            <a:srgbClr val="AF223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Triângulo Retângulo 5">
            <a:extLst>
              <a:ext uri="{FF2B5EF4-FFF2-40B4-BE49-F238E27FC236}">
                <a16:creationId xmlns:a16="http://schemas.microsoft.com/office/drawing/2014/main" id="{6EA342D1-C41C-4618-A8DF-FA358430E71C}"/>
              </a:ext>
            </a:extLst>
          </xdr:cNvPr>
          <xdr:cNvSpPr/>
        </xdr:nvSpPr>
        <xdr:spPr>
          <a:xfrm>
            <a:off x="395335" y="398247"/>
            <a:ext cx="1138723" cy="489600"/>
          </a:xfrm>
          <a:prstGeom prst="rtTriangle">
            <a:avLst/>
          </a:prstGeom>
          <a:solidFill>
            <a:srgbClr val="02334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Triângulo Retângulo 6">
            <a:extLst>
              <a:ext uri="{FF2B5EF4-FFF2-40B4-BE49-F238E27FC236}">
                <a16:creationId xmlns:a16="http://schemas.microsoft.com/office/drawing/2014/main" id="{BCC0B8A4-0B7E-4EEA-9AC1-AF53CA390416}"/>
              </a:ext>
            </a:extLst>
          </xdr:cNvPr>
          <xdr:cNvSpPr/>
        </xdr:nvSpPr>
        <xdr:spPr>
          <a:xfrm rot="10800000">
            <a:off x="390619" y="397191"/>
            <a:ext cx="1138723" cy="489600"/>
          </a:xfrm>
          <a:prstGeom prst="rtTriangle">
            <a:avLst/>
          </a:prstGeom>
          <a:solidFill>
            <a:srgbClr val="F04D0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39439EDA-FA85-46A6-8EBF-C8E0BDD44143}"/>
              </a:ext>
            </a:extLst>
          </xdr:cNvPr>
          <xdr:cNvSpPr/>
        </xdr:nvSpPr>
        <xdr:spPr>
          <a:xfrm rot="10800000">
            <a:off x="3040758" y="484020"/>
            <a:ext cx="1529248" cy="407631"/>
          </a:xfrm>
          <a:prstGeom prst="rect">
            <a:avLst/>
          </a:prstGeom>
          <a:solidFill>
            <a:srgbClr val="02334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D662E4AE-18D1-4BE0-B96F-79670DFEE254}"/>
              </a:ext>
            </a:extLst>
          </xdr:cNvPr>
          <xdr:cNvSpPr/>
        </xdr:nvSpPr>
        <xdr:spPr>
          <a:xfrm rot="5400000">
            <a:off x="4119269" y="44418"/>
            <a:ext cx="491897" cy="409575"/>
          </a:xfrm>
          <a:prstGeom prst="rect">
            <a:avLst/>
          </a:prstGeom>
          <a:solidFill>
            <a:srgbClr val="FE551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Triângulo Retângulo 22">
            <a:extLst>
              <a:ext uri="{FF2B5EF4-FFF2-40B4-BE49-F238E27FC236}">
                <a16:creationId xmlns:a16="http://schemas.microsoft.com/office/drawing/2014/main" id="{8C609268-DDFD-46D4-A76B-4A50C93625E5}"/>
              </a:ext>
            </a:extLst>
          </xdr:cNvPr>
          <xdr:cNvSpPr/>
        </xdr:nvSpPr>
        <xdr:spPr>
          <a:xfrm rot="10800000">
            <a:off x="3035948" y="5554"/>
            <a:ext cx="1138723" cy="489600"/>
          </a:xfrm>
          <a:prstGeom prst="rtTriangle">
            <a:avLst/>
          </a:prstGeom>
          <a:solidFill>
            <a:srgbClr val="AF223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Triângulo Retângulo 23">
            <a:extLst>
              <a:ext uri="{FF2B5EF4-FFF2-40B4-BE49-F238E27FC236}">
                <a16:creationId xmlns:a16="http://schemas.microsoft.com/office/drawing/2014/main" id="{10DF725F-B3EF-4450-9265-35167A77FBED}"/>
              </a:ext>
            </a:extLst>
          </xdr:cNvPr>
          <xdr:cNvSpPr/>
        </xdr:nvSpPr>
        <xdr:spPr>
          <a:xfrm>
            <a:off x="3040664" y="0"/>
            <a:ext cx="1138723" cy="489600"/>
          </a:xfrm>
          <a:prstGeom prst="rtTriangle">
            <a:avLst/>
          </a:prstGeom>
          <a:solidFill>
            <a:srgbClr val="59B09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 24">
            <a:extLst>
              <a:ext uri="{FF2B5EF4-FFF2-40B4-BE49-F238E27FC236}">
                <a16:creationId xmlns:a16="http://schemas.microsoft.com/office/drawing/2014/main" id="{7DE508BF-C3D5-4260-911E-1D72891CA352}"/>
              </a:ext>
            </a:extLst>
          </xdr:cNvPr>
          <xdr:cNvSpPr/>
        </xdr:nvSpPr>
        <xdr:spPr>
          <a:xfrm>
            <a:off x="1532553" y="1"/>
            <a:ext cx="1525944" cy="890490"/>
          </a:xfrm>
          <a:prstGeom prst="rect">
            <a:avLst/>
          </a:prstGeom>
          <a:solidFill>
            <a:srgbClr val="0A0F2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7" name="Triângulo isósceles 26">
            <a:extLst>
              <a:ext uri="{FF2B5EF4-FFF2-40B4-BE49-F238E27FC236}">
                <a16:creationId xmlns:a16="http://schemas.microsoft.com/office/drawing/2014/main" id="{CF858234-C9E7-4517-9702-83AE5D089263}"/>
              </a:ext>
            </a:extLst>
          </xdr:cNvPr>
          <xdr:cNvSpPr/>
        </xdr:nvSpPr>
        <xdr:spPr>
          <a:xfrm rot="10800000">
            <a:off x="1525942" y="0"/>
            <a:ext cx="1525946" cy="515128"/>
          </a:xfrm>
          <a:prstGeom prst="triangle">
            <a:avLst>
              <a:gd name="adj" fmla="val 49353"/>
            </a:avLst>
          </a:prstGeom>
          <a:solidFill>
            <a:srgbClr val="FF8D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9" name="Losango 28">
            <a:extLst>
              <a:ext uri="{FF2B5EF4-FFF2-40B4-BE49-F238E27FC236}">
                <a16:creationId xmlns:a16="http://schemas.microsoft.com/office/drawing/2014/main" id="{0AB25595-4AD5-4EE2-86B8-8EA1ADADA06E}"/>
              </a:ext>
            </a:extLst>
          </xdr:cNvPr>
          <xdr:cNvSpPr/>
        </xdr:nvSpPr>
        <xdr:spPr>
          <a:xfrm>
            <a:off x="170089" y="149815"/>
            <a:ext cx="108000" cy="108000"/>
          </a:xfrm>
          <a:prstGeom prst="diamond">
            <a:avLst/>
          </a:prstGeom>
          <a:solidFill>
            <a:srgbClr val="FF8D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0" name="Losango 29">
            <a:extLst>
              <a:ext uri="{FF2B5EF4-FFF2-40B4-BE49-F238E27FC236}">
                <a16:creationId xmlns:a16="http://schemas.microsoft.com/office/drawing/2014/main" id="{4262BC3A-5080-4A6E-B4A9-8EE778BDF36E}"/>
              </a:ext>
            </a:extLst>
          </xdr:cNvPr>
          <xdr:cNvSpPr/>
        </xdr:nvSpPr>
        <xdr:spPr>
          <a:xfrm>
            <a:off x="539555" y="149815"/>
            <a:ext cx="108000" cy="108000"/>
          </a:xfrm>
          <a:prstGeom prst="diamond">
            <a:avLst/>
          </a:prstGeom>
          <a:solidFill>
            <a:srgbClr val="FF8D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Losango 30">
            <a:extLst>
              <a:ext uri="{FF2B5EF4-FFF2-40B4-BE49-F238E27FC236}">
                <a16:creationId xmlns:a16="http://schemas.microsoft.com/office/drawing/2014/main" id="{6B13F8D2-D326-4B54-9E03-496E727E472A}"/>
              </a:ext>
            </a:extLst>
          </xdr:cNvPr>
          <xdr:cNvSpPr/>
        </xdr:nvSpPr>
        <xdr:spPr>
          <a:xfrm>
            <a:off x="909021" y="149815"/>
            <a:ext cx="108000" cy="108000"/>
          </a:xfrm>
          <a:prstGeom prst="diamond">
            <a:avLst/>
          </a:prstGeom>
          <a:solidFill>
            <a:srgbClr val="FF8D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Losango 31">
            <a:extLst>
              <a:ext uri="{FF2B5EF4-FFF2-40B4-BE49-F238E27FC236}">
                <a16:creationId xmlns:a16="http://schemas.microsoft.com/office/drawing/2014/main" id="{AD1FFFAE-A203-498D-9EF4-5BC8D9F396D0}"/>
              </a:ext>
            </a:extLst>
          </xdr:cNvPr>
          <xdr:cNvSpPr/>
        </xdr:nvSpPr>
        <xdr:spPr>
          <a:xfrm>
            <a:off x="1278487" y="149815"/>
            <a:ext cx="108000" cy="108000"/>
          </a:xfrm>
          <a:prstGeom prst="diamond">
            <a:avLst/>
          </a:prstGeom>
          <a:solidFill>
            <a:srgbClr val="FF8D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35" name="Conector reto 34">
            <a:extLst>
              <a:ext uri="{FF2B5EF4-FFF2-40B4-BE49-F238E27FC236}">
                <a16:creationId xmlns:a16="http://schemas.microsoft.com/office/drawing/2014/main" id="{CF13ADBC-955D-4ADA-B7E7-578EC7AA2992}"/>
              </a:ext>
            </a:extLst>
          </xdr:cNvPr>
          <xdr:cNvCxnSpPr/>
        </xdr:nvCxnSpPr>
        <xdr:spPr>
          <a:xfrm>
            <a:off x="3953144" y="490829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Conector reto 36">
            <a:extLst>
              <a:ext uri="{FF2B5EF4-FFF2-40B4-BE49-F238E27FC236}">
                <a16:creationId xmlns:a16="http://schemas.microsoft.com/office/drawing/2014/main" id="{02AF2689-C04F-4CF5-BF03-78DBC017E30E}"/>
              </a:ext>
            </a:extLst>
          </xdr:cNvPr>
          <xdr:cNvCxnSpPr/>
        </xdr:nvCxnSpPr>
        <xdr:spPr>
          <a:xfrm>
            <a:off x="3502710" y="497438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FCD7A21B-626F-4615-BAB1-599A88BB351C}"/>
              </a:ext>
            </a:extLst>
          </xdr:cNvPr>
          <xdr:cNvCxnSpPr/>
        </xdr:nvCxnSpPr>
        <xdr:spPr>
          <a:xfrm>
            <a:off x="3727927" y="497438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3D1E9ABD-7362-4F35-A8AB-B5633CFFD72A}"/>
              </a:ext>
            </a:extLst>
          </xdr:cNvPr>
          <xdr:cNvCxnSpPr/>
        </xdr:nvCxnSpPr>
        <xdr:spPr>
          <a:xfrm>
            <a:off x="3277493" y="489468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Conector reto 39">
            <a:extLst>
              <a:ext uri="{FF2B5EF4-FFF2-40B4-BE49-F238E27FC236}">
                <a16:creationId xmlns:a16="http://schemas.microsoft.com/office/drawing/2014/main" id="{2E614988-4D2D-4EE1-8E9D-7794B0964ABD}"/>
              </a:ext>
            </a:extLst>
          </xdr:cNvPr>
          <xdr:cNvCxnSpPr/>
        </xdr:nvCxnSpPr>
        <xdr:spPr>
          <a:xfrm>
            <a:off x="3052276" y="500937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reto 41">
            <a:extLst>
              <a:ext uri="{FF2B5EF4-FFF2-40B4-BE49-F238E27FC236}">
                <a16:creationId xmlns:a16="http://schemas.microsoft.com/office/drawing/2014/main" id="{AA509E28-B984-431E-ADBF-FB8CB2822E19}"/>
              </a:ext>
            </a:extLst>
          </xdr:cNvPr>
          <xdr:cNvCxnSpPr/>
        </xdr:nvCxnSpPr>
        <xdr:spPr>
          <a:xfrm>
            <a:off x="4178363" y="484997"/>
            <a:ext cx="388775" cy="388776"/>
          </a:xfrm>
          <a:prstGeom prst="line">
            <a:avLst/>
          </a:prstGeom>
          <a:ln w="19050">
            <a:solidFill>
              <a:srgbClr val="AF2233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Elipse 42">
            <a:extLst>
              <a:ext uri="{FF2B5EF4-FFF2-40B4-BE49-F238E27FC236}">
                <a16:creationId xmlns:a16="http://schemas.microsoft.com/office/drawing/2014/main" id="{D0DA5283-5314-4244-9D7F-274B2D801439}"/>
              </a:ext>
            </a:extLst>
          </xdr:cNvPr>
          <xdr:cNvSpPr/>
        </xdr:nvSpPr>
        <xdr:spPr>
          <a:xfrm>
            <a:off x="4311217" y="195205"/>
            <a:ext cx="108000" cy="108000"/>
          </a:xfrm>
          <a:prstGeom prst="ellipse">
            <a:avLst/>
          </a:prstGeom>
          <a:solidFill>
            <a:srgbClr val="59B09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670807</xdr:colOff>
      <xdr:row>1</xdr:row>
      <xdr:rowOff>58317</xdr:rowOff>
    </xdr:from>
    <xdr:to>
      <xdr:col>3</xdr:col>
      <xdr:colOff>1161442</xdr:colOff>
      <xdr:row>3</xdr:row>
      <xdr:rowOff>126742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A4E93A6E-D37C-4706-BB60-B47051225174}"/>
            </a:ext>
          </a:extLst>
        </xdr:cNvPr>
        <xdr:cNvSpPr/>
      </xdr:nvSpPr>
      <xdr:spPr>
        <a:xfrm>
          <a:off x="1004182" y="258342"/>
          <a:ext cx="4272060" cy="468475"/>
        </a:xfrm>
        <a:prstGeom prst="roundRect">
          <a:avLst>
            <a:gd name="adj" fmla="val 6250"/>
          </a:avLst>
        </a:prstGeom>
        <a:solidFill>
          <a:srgbClr val="E9E4B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2077313</xdr:colOff>
      <xdr:row>1</xdr:row>
      <xdr:rowOff>155511</xdr:rowOff>
    </xdr:from>
    <xdr:to>
      <xdr:col>3</xdr:col>
      <xdr:colOff>114300</xdr:colOff>
      <xdr:row>3</xdr:row>
      <xdr:rowOff>29548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9D7EE188-CBCA-4E46-AEDF-3BBE5FA979C6}"/>
            </a:ext>
          </a:extLst>
        </xdr:cNvPr>
        <xdr:cNvSpPr txBox="1"/>
      </xdr:nvSpPr>
      <xdr:spPr>
        <a:xfrm>
          <a:off x="2410688" y="355536"/>
          <a:ext cx="1818412" cy="274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>
              <a:latin typeface="Broadway" panose="04040905080B02020502" pitchFamily="82" charset="0"/>
            </a:rPr>
            <a:t>DIO INVEST</a:t>
          </a:r>
        </a:p>
      </xdr:txBody>
    </xdr:sp>
    <xdr:clientData/>
  </xdr:twoCellAnchor>
  <xdr:twoCellAnchor editAs="absolute">
    <xdr:from>
      <xdr:col>1</xdr:col>
      <xdr:colOff>1260021</xdr:colOff>
      <xdr:row>0</xdr:row>
      <xdr:rowOff>184474</xdr:rowOff>
    </xdr:from>
    <xdr:to>
      <xdr:col>1</xdr:col>
      <xdr:colOff>1855043</xdr:colOff>
      <xdr:row>3</xdr:row>
      <xdr:rowOff>181170</xdr:rowOff>
    </xdr:to>
    <xdr:pic>
      <xdr:nvPicPr>
        <xdr:cNvPr id="47" name="Gráfico 46" descr="Cofrinho com preenchimento sólido">
          <a:extLst>
            <a:ext uri="{FF2B5EF4-FFF2-40B4-BE49-F238E27FC236}">
              <a16:creationId xmlns:a16="http://schemas.microsoft.com/office/drawing/2014/main" id="{D91D52DD-4F1C-450F-A9A7-5E438E642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3396" y="184474"/>
          <a:ext cx="595022" cy="596771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</xdr:row>
      <xdr:rowOff>185737</xdr:rowOff>
    </xdr:from>
    <xdr:to>
      <xdr:col>3</xdr:col>
      <xdr:colOff>1171574</xdr:colOff>
      <xdr:row>50</xdr:row>
      <xdr:rowOff>128587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28F0643-B965-4F63-A0A2-862C161A2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4467-59E4-4405-9DCF-D8A59DF956C7}">
  <dimension ref="A6:D36"/>
  <sheetViews>
    <sheetView showGridLines="0" showRowColHeaders="0" tabSelected="1" topLeftCell="A4" zoomScaleNormal="100" workbookViewId="0">
      <selection activeCell="B16" sqref="B16:C17"/>
    </sheetView>
  </sheetViews>
  <sheetFormatPr defaultColWidth="0" defaultRowHeight="15.75" x14ac:dyDescent="0.25"/>
  <cols>
    <col min="1" max="1" width="5" style="27" customWidth="1"/>
    <col min="2" max="2" width="37.5703125" style="27" customWidth="1"/>
    <col min="3" max="3" width="19.140625" style="27" bestFit="1" customWidth="1"/>
    <col min="4" max="4" width="17.5703125" style="28" customWidth="1"/>
    <col min="5" max="6" width="9.140625" style="27" customWidth="1"/>
    <col min="7" max="16384" width="9.140625" style="27" hidden="1"/>
  </cols>
  <sheetData>
    <row r="6" spans="2:4" ht="16.5" thickBot="1" x14ac:dyDescent="0.3"/>
    <row r="7" spans="2:4" ht="22.5" customHeight="1" x14ac:dyDescent="0.25">
      <c r="B7" s="29" t="s">
        <v>14</v>
      </c>
      <c r="C7" s="30"/>
      <c r="D7" s="31"/>
    </row>
    <row r="8" spans="2:4" x14ac:dyDescent="0.25">
      <c r="B8" s="2" t="s">
        <v>0</v>
      </c>
      <c r="C8" s="3"/>
      <c r="D8" s="4">
        <v>2500</v>
      </c>
    </row>
    <row r="9" spans="2:4" x14ac:dyDescent="0.25">
      <c r="B9" s="5" t="s">
        <v>1</v>
      </c>
      <c r="C9" s="6"/>
      <c r="D9" s="7">
        <v>0.01</v>
      </c>
    </row>
    <row r="10" spans="2:4" ht="16.5" thickBot="1" x14ac:dyDescent="0.3">
      <c r="B10" s="8" t="s">
        <v>2</v>
      </c>
      <c r="C10" s="9"/>
      <c r="D10" s="10">
        <f>$D$8*30%</f>
        <v>750</v>
      </c>
    </row>
    <row r="11" spans="2:4" ht="16.5" thickBot="1" x14ac:dyDescent="0.3"/>
    <row r="12" spans="2:4" ht="22.5" customHeight="1" x14ac:dyDescent="0.25">
      <c r="B12" s="32" t="s">
        <v>15</v>
      </c>
      <c r="C12" s="33"/>
      <c r="D12" s="34"/>
    </row>
    <row r="13" spans="2:4" x14ac:dyDescent="0.25">
      <c r="B13" s="11" t="s">
        <v>3</v>
      </c>
      <c r="C13" s="12"/>
      <c r="D13" s="13">
        <v>500</v>
      </c>
    </row>
    <row r="14" spans="2:4" x14ac:dyDescent="0.25">
      <c r="B14" s="11" t="s">
        <v>4</v>
      </c>
      <c r="C14" s="12"/>
      <c r="D14" s="14">
        <v>5</v>
      </c>
    </row>
    <row r="15" spans="2:4" x14ac:dyDescent="0.25">
      <c r="B15" s="11" t="s">
        <v>5</v>
      </c>
      <c r="C15" s="12"/>
      <c r="D15" s="15">
        <v>1.0800000000000001E-2</v>
      </c>
    </row>
    <row r="16" spans="2:4" x14ac:dyDescent="0.25">
      <c r="B16" s="51" t="s">
        <v>6</v>
      </c>
      <c r="C16" s="52"/>
      <c r="D16" s="16">
        <f>FV(taxa_mensal,qtd_anos*12,-aporte)</f>
        <v>41902.00967962922</v>
      </c>
    </row>
    <row r="17" spans="1:4" ht="16.5" thickBot="1" x14ac:dyDescent="0.3">
      <c r="B17" s="53" t="s">
        <v>7</v>
      </c>
      <c r="C17" s="54"/>
      <c r="D17" s="17">
        <f>patrimonio*taxa_mensal</f>
        <v>452.54170453999558</v>
      </c>
    </row>
    <row r="18" spans="1:4" ht="16.5" thickBot="1" x14ac:dyDescent="0.3"/>
    <row r="19" spans="1:4" ht="22.5" customHeight="1" x14ac:dyDescent="0.25">
      <c r="B19" s="35" t="s">
        <v>16</v>
      </c>
      <c r="C19" s="36"/>
      <c r="D19" s="37" t="s">
        <v>27</v>
      </c>
    </row>
    <row r="20" spans="1:4" x14ac:dyDescent="0.25">
      <c r="A20" s="38">
        <v>2</v>
      </c>
      <c r="B20" s="18" t="s">
        <v>8</v>
      </c>
      <c r="C20" s="19">
        <f>FV($D$15,$A20*12,-$D$13)</f>
        <v>13615.431830290796</v>
      </c>
      <c r="D20" s="20">
        <f>C20*rendimento_carteira</f>
        <v>136.15431830290797</v>
      </c>
    </row>
    <row r="21" spans="1:4" x14ac:dyDescent="0.25">
      <c r="A21" s="38">
        <v>5</v>
      </c>
      <c r="B21" s="21" t="s">
        <v>9</v>
      </c>
      <c r="C21" s="22">
        <f t="shared" ref="C21:D24" si="0">FV($D$15,$A21*12,-$D$13)</f>
        <v>41902.00967962922</v>
      </c>
      <c r="D21" s="20">
        <f>C21*rendimento_carteira</f>
        <v>419.02009679629219</v>
      </c>
    </row>
    <row r="22" spans="1:4" x14ac:dyDescent="0.25">
      <c r="A22" s="38">
        <v>10</v>
      </c>
      <c r="B22" s="21" t="s">
        <v>10</v>
      </c>
      <c r="C22" s="23">
        <f t="shared" si="0"/>
        <v>121728.83312740005</v>
      </c>
      <c r="D22" s="20">
        <f>C22*rendimento_carteira</f>
        <v>1217.2883312740005</v>
      </c>
    </row>
    <row r="23" spans="1:4" x14ac:dyDescent="0.25">
      <c r="A23" s="38">
        <v>20</v>
      </c>
      <c r="B23" s="21" t="s">
        <v>11</v>
      </c>
      <c r="C23" s="23">
        <f t="shared" si="0"/>
        <v>563524.49664926168</v>
      </c>
      <c r="D23" s="20">
        <f>C23*rendimento_carteira</f>
        <v>5635.2449664926171</v>
      </c>
    </row>
    <row r="24" spans="1:4" ht="16.5" thickBot="1" x14ac:dyDescent="0.3">
      <c r="A24" s="38">
        <v>30</v>
      </c>
      <c r="B24" s="24" t="s">
        <v>12</v>
      </c>
      <c r="C24" s="25">
        <f t="shared" si="0"/>
        <v>2166952.4051583759</v>
      </c>
      <c r="D24" s="26">
        <f>C24*rendimento_carteira</f>
        <v>21669.524051583758</v>
      </c>
    </row>
    <row r="25" spans="1:4" x14ac:dyDescent="0.25">
      <c r="D25" s="27"/>
    </row>
    <row r="26" spans="1:4" x14ac:dyDescent="0.25">
      <c r="B26" s="39" t="s">
        <v>17</v>
      </c>
      <c r="C26" s="47" t="s">
        <v>28</v>
      </c>
      <c r="D26" s="40"/>
    </row>
    <row r="27" spans="1:4" x14ac:dyDescent="0.25">
      <c r="B27" s="41" t="s">
        <v>13</v>
      </c>
      <c r="C27" s="48">
        <f>aporte</f>
        <v>500</v>
      </c>
      <c r="D27" s="42"/>
    </row>
    <row r="29" spans="1:4" x14ac:dyDescent="0.25">
      <c r="B29" s="43" t="s">
        <v>18</v>
      </c>
      <c r="C29" s="43" t="s">
        <v>25</v>
      </c>
      <c r="D29" s="43" t="s">
        <v>26</v>
      </c>
    </row>
    <row r="30" spans="1:4" x14ac:dyDescent="0.25">
      <c r="B30" s="44" t="s">
        <v>19</v>
      </c>
      <c r="C30" s="50">
        <f>VLOOKUP($B30&amp;"-"&amp;$C$26,Apoio!B2:D22,3,FALSE)</f>
        <v>0.5</v>
      </c>
      <c r="D30" s="42">
        <f>aporte*$C30</f>
        <v>250</v>
      </c>
    </row>
    <row r="31" spans="1:4" x14ac:dyDescent="0.25">
      <c r="B31" s="44" t="s">
        <v>20</v>
      </c>
      <c r="C31" s="50">
        <f>VLOOKUP($B31&amp;"-"&amp;$C$26,Apoio!B3:D23,3,FALSE)</f>
        <v>0.1</v>
      </c>
      <c r="D31" s="42">
        <f>aporte*$C31</f>
        <v>50</v>
      </c>
    </row>
    <row r="32" spans="1:4" x14ac:dyDescent="0.25">
      <c r="B32" s="44" t="s">
        <v>21</v>
      </c>
      <c r="C32" s="50">
        <f>VLOOKUP($B32&amp;"-"&amp;$C$26,Apoio!B4:D24,3,FALSE)</f>
        <v>0.05</v>
      </c>
      <c r="D32" s="42">
        <f>aporte*$C32</f>
        <v>25</v>
      </c>
    </row>
    <row r="33" spans="2:4" x14ac:dyDescent="0.25">
      <c r="B33" s="44" t="s">
        <v>22</v>
      </c>
      <c r="C33" s="50">
        <f>VLOOKUP($B33&amp;"-"&amp;$C$26,Apoio!B5:D25,3,FALSE)</f>
        <v>0.05</v>
      </c>
      <c r="D33" s="42">
        <f>aporte*$C33</f>
        <v>25</v>
      </c>
    </row>
    <row r="34" spans="2:4" x14ac:dyDescent="0.25">
      <c r="B34" s="44" t="s">
        <v>23</v>
      </c>
      <c r="C34" s="50">
        <f>VLOOKUP($B34&amp;"-"&amp;$C$26,Apoio!B6:D26,3,FALSE)</f>
        <v>0.2</v>
      </c>
      <c r="D34" s="42">
        <f>aporte*$C34</f>
        <v>100</v>
      </c>
    </row>
    <row r="35" spans="2:4" x14ac:dyDescent="0.25">
      <c r="B35" s="44" t="s">
        <v>24</v>
      </c>
      <c r="C35" s="50">
        <f>VLOOKUP($B35&amp;"-"&amp;$C$26,Apoio!B7:D27,3,FALSE)</f>
        <v>0.1</v>
      </c>
      <c r="D35" s="42">
        <f>aporte*$C35</f>
        <v>50</v>
      </c>
    </row>
    <row r="36" spans="2:4" x14ac:dyDescent="0.25">
      <c r="B36" s="45"/>
      <c r="C36" s="45"/>
      <c r="D36" s="46">
        <f>SUM($D$30:$D$35)</f>
        <v>500</v>
      </c>
    </row>
  </sheetData>
  <mergeCells count="11">
    <mergeCell ref="B19:C19"/>
    <mergeCell ref="B13:C13"/>
    <mergeCell ref="B14:C14"/>
    <mergeCell ref="B15:C15"/>
    <mergeCell ref="B16:C16"/>
    <mergeCell ref="B17:C17"/>
    <mergeCell ref="B7:D7"/>
    <mergeCell ref="B12:D12"/>
    <mergeCell ref="B8:C8"/>
    <mergeCell ref="B9:C9"/>
    <mergeCell ref="B10:C10"/>
  </mergeCells>
  <dataValidations count="1">
    <dataValidation type="list" allowBlank="1" showInputMessage="1" showErrorMessage="1" sqref="C26" xr:uid="{BB377611-1CF0-4C68-8F05-E4DD46C4D1C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ABC8-3C5F-41E2-825D-ABB4C9C8C478}">
  <dimension ref="B2:D23"/>
  <sheetViews>
    <sheetView workbookViewId="0">
      <selection activeCell="B17" sqref="B17:B22"/>
    </sheetView>
  </sheetViews>
  <sheetFormatPr defaultRowHeight="15" x14ac:dyDescent="0.25"/>
  <cols>
    <col min="2" max="2" width="31.28515625" style="1" bestFit="1" customWidth="1"/>
    <col min="3" max="3" width="19.7109375" bestFit="1" customWidth="1"/>
    <col min="4" max="4" width="12.140625" bestFit="1" customWidth="1"/>
    <col min="5" max="5" width="10.140625" bestFit="1" customWidth="1"/>
    <col min="6" max="6" width="9.5703125" bestFit="1" customWidth="1"/>
  </cols>
  <sheetData>
    <row r="2" spans="2:4" ht="15.75" x14ac:dyDescent="0.25">
      <c r="B2" s="43" t="s">
        <v>31</v>
      </c>
      <c r="C2" s="43" t="s">
        <v>18</v>
      </c>
      <c r="D2" s="43" t="s">
        <v>29</v>
      </c>
    </row>
    <row r="3" spans="2:4" ht="15.75" x14ac:dyDescent="0.25">
      <c r="B3" s="1" t="str">
        <f>$C3&amp;"-"&amp;$D$2</f>
        <v>PAPEL-Conservador</v>
      </c>
      <c r="C3" s="44" t="s">
        <v>19</v>
      </c>
      <c r="D3" s="49">
        <v>0.3</v>
      </c>
    </row>
    <row r="4" spans="2:4" ht="15.75" x14ac:dyDescent="0.25">
      <c r="B4" s="1" t="str">
        <f t="shared" ref="B4:B10" si="0">$C4&amp;"-"&amp;$D$2</f>
        <v>TIJOLO-Conservador</v>
      </c>
      <c r="C4" s="44" t="s">
        <v>20</v>
      </c>
      <c r="D4" s="49">
        <v>0.5</v>
      </c>
    </row>
    <row r="5" spans="2:4" ht="15.75" x14ac:dyDescent="0.25">
      <c r="B5" s="1" t="str">
        <f t="shared" si="0"/>
        <v>HÍBRIDOS-Conservador</v>
      </c>
      <c r="C5" s="44" t="s">
        <v>21</v>
      </c>
      <c r="D5" s="49">
        <v>0.1</v>
      </c>
    </row>
    <row r="6" spans="2:4" ht="15.75" x14ac:dyDescent="0.25">
      <c r="B6" s="1" t="str">
        <f t="shared" si="0"/>
        <v>FOFs-Conservador</v>
      </c>
      <c r="C6" s="44" t="s">
        <v>22</v>
      </c>
      <c r="D6" s="49">
        <v>0.1</v>
      </c>
    </row>
    <row r="7" spans="2:4" ht="15.75" x14ac:dyDescent="0.25">
      <c r="B7" s="1" t="str">
        <f t="shared" si="0"/>
        <v>DESENVOLVIMENTO-Conservador</v>
      </c>
      <c r="C7" s="44" t="s">
        <v>23</v>
      </c>
      <c r="D7" s="49">
        <v>0</v>
      </c>
    </row>
    <row r="8" spans="2:4" ht="15.75" x14ac:dyDescent="0.25">
      <c r="B8" s="1" t="str">
        <f t="shared" si="0"/>
        <v>HOTELARIAS-Conservador</v>
      </c>
      <c r="C8" s="44" t="s">
        <v>24</v>
      </c>
      <c r="D8" s="49">
        <v>0</v>
      </c>
    </row>
    <row r="9" spans="2:4" ht="15.75" x14ac:dyDescent="0.25">
      <c r="B9" s="43" t="s">
        <v>31</v>
      </c>
      <c r="C9" s="43" t="s">
        <v>18</v>
      </c>
      <c r="D9" s="43" t="s">
        <v>30</v>
      </c>
    </row>
    <row r="10" spans="2:4" ht="15.75" x14ac:dyDescent="0.25">
      <c r="B10" s="1" t="str">
        <f>$C10&amp;"-"&amp;$D$9</f>
        <v>PAPEL-Moderado</v>
      </c>
      <c r="C10" s="44" t="s">
        <v>19</v>
      </c>
      <c r="D10" s="49">
        <v>0.32</v>
      </c>
    </row>
    <row r="11" spans="2:4" ht="15.75" x14ac:dyDescent="0.25">
      <c r="B11" s="1" t="str">
        <f t="shared" ref="B11:B15" si="1">$C11&amp;"-"&amp;$D$9</f>
        <v>TIJOLO-Moderado</v>
      </c>
      <c r="C11" s="44" t="s">
        <v>20</v>
      </c>
      <c r="D11" s="49">
        <v>0.35</v>
      </c>
    </row>
    <row r="12" spans="2:4" ht="15.75" x14ac:dyDescent="0.25">
      <c r="B12" s="1" t="str">
        <f t="shared" si="1"/>
        <v>HÍBRIDOS-Moderado</v>
      </c>
      <c r="C12" s="44" t="s">
        <v>21</v>
      </c>
      <c r="D12" s="49">
        <v>0.08</v>
      </c>
    </row>
    <row r="13" spans="2:4" ht="15.75" x14ac:dyDescent="0.25">
      <c r="B13" s="1" t="str">
        <f t="shared" si="1"/>
        <v>FOFs-Moderado</v>
      </c>
      <c r="C13" s="44" t="s">
        <v>22</v>
      </c>
      <c r="D13" s="49">
        <v>0.05</v>
      </c>
    </row>
    <row r="14" spans="2:4" ht="15.75" x14ac:dyDescent="0.25">
      <c r="B14" s="1" t="str">
        <f t="shared" si="1"/>
        <v>DESENVOLVIMENTO-Moderado</v>
      </c>
      <c r="C14" s="44" t="s">
        <v>23</v>
      </c>
      <c r="D14" s="49">
        <v>0.1</v>
      </c>
    </row>
    <row r="15" spans="2:4" ht="15.75" x14ac:dyDescent="0.25">
      <c r="B15" s="1" t="str">
        <f t="shared" si="1"/>
        <v>HOTELARIAS-Moderado</v>
      </c>
      <c r="C15" s="44" t="s">
        <v>24</v>
      </c>
      <c r="D15" s="49">
        <v>0.1</v>
      </c>
    </row>
    <row r="16" spans="2:4" ht="15.75" x14ac:dyDescent="0.25">
      <c r="B16" s="43" t="s">
        <v>31</v>
      </c>
      <c r="C16" s="43" t="s">
        <v>18</v>
      </c>
      <c r="D16" s="43" t="s">
        <v>28</v>
      </c>
    </row>
    <row r="17" spans="2:4" ht="15.75" x14ac:dyDescent="0.25">
      <c r="B17" s="1" t="str">
        <f>$C17&amp;"-"&amp;$D$16</f>
        <v>PAPEL-Agressivo</v>
      </c>
      <c r="C17" s="44" t="s">
        <v>19</v>
      </c>
      <c r="D17" s="49">
        <v>0.5</v>
      </c>
    </row>
    <row r="18" spans="2:4" ht="15.75" x14ac:dyDescent="0.25">
      <c r="B18" s="1" t="str">
        <f t="shared" ref="B18:B22" si="2">$C18&amp;"-"&amp;$D$16</f>
        <v>TIJOLO-Agressivo</v>
      </c>
      <c r="C18" s="44" t="s">
        <v>20</v>
      </c>
      <c r="D18" s="49">
        <v>0.1</v>
      </c>
    </row>
    <row r="19" spans="2:4" ht="15.75" x14ac:dyDescent="0.25">
      <c r="B19" s="1" t="str">
        <f t="shared" si="2"/>
        <v>HÍBRIDOS-Agressivo</v>
      </c>
      <c r="C19" s="44" t="s">
        <v>21</v>
      </c>
      <c r="D19" s="49">
        <v>0.05</v>
      </c>
    </row>
    <row r="20" spans="2:4" ht="15.75" x14ac:dyDescent="0.25">
      <c r="B20" s="1" t="str">
        <f t="shared" si="2"/>
        <v>FOFs-Agressivo</v>
      </c>
      <c r="C20" s="44" t="s">
        <v>22</v>
      </c>
      <c r="D20" s="49">
        <v>0.05</v>
      </c>
    </row>
    <row r="21" spans="2:4" ht="15.75" x14ac:dyDescent="0.25">
      <c r="B21" s="1" t="str">
        <f t="shared" si="2"/>
        <v>DESENVOLVIMENTO-Agressivo</v>
      </c>
      <c r="C21" s="44" t="s">
        <v>23</v>
      </c>
      <c r="D21" s="49">
        <v>0.2</v>
      </c>
    </row>
    <row r="22" spans="2:4" ht="15.75" x14ac:dyDescent="0.25">
      <c r="B22" s="1" t="str">
        <f t="shared" si="2"/>
        <v>HOTELARIAS-Agressivo</v>
      </c>
      <c r="C22" s="44" t="s">
        <v>24</v>
      </c>
      <c r="D22" s="49">
        <v>0.1</v>
      </c>
    </row>
    <row r="23" spans="2:4" ht="15.75" x14ac:dyDescent="0.25">
      <c r="C23" s="4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Rodrigues</dc:creator>
  <cp:lastModifiedBy>Marcela Rodrigues</cp:lastModifiedBy>
  <dcterms:created xsi:type="dcterms:W3CDTF">2025-12-18T01:44:57Z</dcterms:created>
  <dcterms:modified xsi:type="dcterms:W3CDTF">2025-12-19T02:33:29Z</dcterms:modified>
</cp:coreProperties>
</file>